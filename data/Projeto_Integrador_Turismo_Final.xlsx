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I-SEVEN\Developer\roteiro-turismo\data\"/>
    </mc:Choice>
  </mc:AlternateContent>
  <xr:revisionPtr revIDLastSave="0" documentId="13_ncr:1_{78F0A442-E387-4A2E-89C5-AC5A88A02E31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Perfil do Turista (Grupos)" sheetId="1" r:id="rId1"/>
    <sheet name="Inventário Turístico" sheetId="2" r:id="rId2"/>
  </sheets>
  <definedNames>
    <definedName name="_xlnm._FilterDatabase" localSheetId="1" hidden="1">'Inventário Turístico'!$A$1:$K$9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25" i="1"/>
</calcChain>
</file>

<file path=xl/sharedStrings.xml><?xml version="1.0" encoding="utf-8"?>
<sst xmlns="http://schemas.openxmlformats.org/spreadsheetml/2006/main" count="108" uniqueCount="98">
  <si>
    <t>FORMULÁRIO DE CLASSIFICAÇÃO DE PERFIL - GRUPOS (IA DE ROTEIROS)</t>
  </si>
  <si>
    <t>1. DADOS GERAIS DO GRUPO</t>
  </si>
  <si>
    <t>Nome do Grupo / Contato Principal:</t>
  </si>
  <si>
    <t>Ulisses tortolero Pierne</t>
  </si>
  <si>
    <t>Número de Pessoas:</t>
  </si>
  <si>
    <t>Duração da Viagem (em Dias)</t>
  </si>
  <si>
    <t>Perfil Predominante do Grupo:</t>
  </si>
  <si>
    <t>Casais</t>
  </si>
  <si>
    <t>Ritmo de Viagem Desejado:</t>
  </si>
  <si>
    <t>Moderado (Equilibrado)</t>
  </si>
  <si>
    <t>Restrições Alimentares no Grupo?</t>
  </si>
  <si>
    <t>Nenhuma</t>
  </si>
  <si>
    <t>2. EIXO PSICOGRÁFICO (PLOG) - AVALIE DE 1 a 5</t>
  </si>
  <si>
    <t>ID</t>
  </si>
  <si>
    <t>Pergunta</t>
  </si>
  <si>
    <t>Nota (1 a 5)</t>
  </si>
  <si>
    <t>1 Significa...</t>
  </si>
  <si>
    <t>5 Significa...</t>
  </si>
  <si>
    <t>P1</t>
  </si>
  <si>
    <t>Como o grupo prefere escolher as atividades?</t>
  </si>
  <si>
    <t>1 = Atrações famosas, seguras e com infra</t>
  </si>
  <si>
    <t>5 = Trilhas exóticas, aventuras e desafios</t>
  </si>
  <si>
    <t>P2</t>
  </si>
  <si>
    <t>Qual a preferência gastronômica do grupo?</t>
  </si>
  <si>
    <t>1 = Restaurantes grandes ou comida familiar</t>
  </si>
  <si>
    <t>5 = Comida de rua ou botecos locais</t>
  </si>
  <si>
    <t>P3</t>
  </si>
  <si>
    <t>Como o grupo reage a imprevistos na logística?</t>
  </si>
  <si>
    <t>1 = Ansiedade alta / Exige roteiro rígido</t>
  </si>
  <si>
    <t>5 = Flexíveis, encaram como aventura</t>
  </si>
  <si>
    <t>3. EIXO DE INSTITUCIONALIZAÇÃO (COHEN) - AVALIE DE 1 a 5</t>
  </si>
  <si>
    <t>C1</t>
  </si>
  <si>
    <t>Como foi o planejamento da viagem do grupo?</t>
  </si>
  <si>
    <t>1 = Pacote fechado (pré-comprado)</t>
  </si>
  <si>
    <t>5 = Passagem/hotel apenas; decide na hora</t>
  </si>
  <si>
    <t>C2</t>
  </si>
  <si>
    <t>Qual é a exigência de estrutura e conforto?</t>
  </si>
  <si>
    <t>1 = Alto conforto (resorts, bons hotéis)</t>
  </si>
  <si>
    <t>5 = Estrutura mínima (camping, hostels)</t>
  </si>
  <si>
    <t>C3</t>
  </si>
  <si>
    <t>Como o grupo pretende se deslocar?</t>
  </si>
  <si>
    <t>1 = Ônibus fretado ou transfer agendado</t>
  </si>
  <si>
    <t>5 = Transporte público ou a pé</t>
  </si>
  <si>
    <t>4. SCORE DO GRUPO E FATORES RESTRITIVOS (CÁLCULO AUTOMÁTICO)</t>
  </si>
  <si>
    <t>MÉDIA PLOG (Aventura):</t>
  </si>
  <si>
    <t>MÉDIA COHEN (Independência):</t>
  </si>
  <si>
    <t>Fator Restritivo (Tamanho do Grupo):</t>
  </si>
  <si>
    <t>Nome da Atração</t>
  </si>
  <si>
    <t>Categoria</t>
  </si>
  <si>
    <t>Capacidade Máx. Grupo (Pessoas)</t>
  </si>
  <si>
    <t>Tempo Médio (horas)</t>
  </si>
  <si>
    <t>Peso Plog (Aventura)</t>
  </si>
  <si>
    <t>Peso Cohen (Independência)</t>
  </si>
  <si>
    <t>Opção Vegetariana/Vegana</t>
  </si>
  <si>
    <t>Descrição Breve</t>
  </si>
  <si>
    <t>ATR_01</t>
  </si>
  <si>
    <t>Pinacoteca Fórum das Artes</t>
  </si>
  <si>
    <t>Cultura</t>
  </si>
  <si>
    <t>Não se Aplica</t>
  </si>
  <si>
    <t>Museu em prédio histórico, ambiente fechado, seguro e roteiro estruturado.</t>
  </si>
  <si>
    <t>ATR_02</t>
  </si>
  <si>
    <t>Catedral Metropolitana de Sant'Ana</t>
  </si>
  <si>
    <t>Histórico / Religioso</t>
  </si>
  <si>
    <t>Atração central, fácil acesso, ideal para turistas comodistas.</t>
  </si>
  <si>
    <t>ATR_03</t>
  </si>
  <si>
    <t>Bairro Demétria (Feira Orgânica)</t>
  </si>
  <si>
    <t>Gastronomia / Cultura</t>
  </si>
  <si>
    <t>Sim (Ampla)</t>
  </si>
  <si>
    <t>Polo de agricultura biodinâmica, ambiente alternativo mas com boa estrutura para o turista.</t>
  </si>
  <si>
    <t>ATR_04</t>
  </si>
  <si>
    <t>Mirante da Pedra do Índio</t>
  </si>
  <si>
    <t>Natureza / Contemplação</t>
  </si>
  <si>
    <t>Sim (Snacks/Café)</t>
  </si>
  <si>
    <t>Deck estruturado com cafeteria, contato com a natureza da Cuesta sem exigir grande esforço físico.</t>
  </si>
  <si>
    <t>ATR_05</t>
  </si>
  <si>
    <t>Cachoeira da Marta</t>
  </si>
  <si>
    <t>Natureza / Ecoturismo</t>
  </si>
  <si>
    <t>Trilha com degraus estruturados, exige disposição física moderada e contato com a mata.</t>
  </si>
  <si>
    <t>ATR_06</t>
  </si>
  <si>
    <t>Base da Nuvem (Voo Livre)</t>
  </si>
  <si>
    <t>Aventura</t>
  </si>
  <si>
    <t>Aventura alta (Plog alto), porém operada por profissionais e agências (Cohen baixo/médio).</t>
  </si>
  <si>
    <t>ATR_07</t>
  </si>
  <si>
    <t>Mirante das Três Pedras (Sem Guia)</t>
  </si>
  <si>
    <t>Natureza Extrema</t>
  </si>
  <si>
    <t>Não (Necessário levar)</t>
  </si>
  <si>
    <t>Acesso difícil, terreno acidentado, sem infraestrutura, exige máxima independência e espírito explorador.</t>
  </si>
  <si>
    <t>ATR_08</t>
  </si>
  <si>
    <t>Cervejaria Artesanal Local (Cuesta)</t>
  </si>
  <si>
    <t>Gastronomia</t>
  </si>
  <si>
    <t>Sim (Petiscos/Porções)</t>
  </si>
  <si>
    <t>Tour guiado por fábrica, ambiente confortável e seguro.</t>
  </si>
  <si>
    <t>Horário de Abertura</t>
  </si>
  <si>
    <t>Horário de Fechamento</t>
  </si>
  <si>
    <t>ATR_09</t>
  </si>
  <si>
    <t>Lanchonete do Tião</t>
  </si>
  <si>
    <t>Não</t>
  </si>
  <si>
    <t>Lanches do tipo Podrão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</si>
</sst>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0" fillId="4" borderId="0" xfId="0" applyFill="1"/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3" fillId="8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7" borderId="0" xfId="0" applyFont="1" applyFill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20" fontId="0" fillId="0" borderId="0" xfId="0" applyNumberFormat="1"/>
    <xf numFmtId="0" fontId="0" fillId="8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opLeftCell="A10" workbookViewId="0">
      <selection activeCell="B33" sqref="B33"/>
    </sheetView>
  </sheetViews>
  <sheetFormatPr defaultRowHeight="14.4" x14ac:dyDescent="0.3"/>
  <cols>
    <col min="1" max="1" width="32" bestFit="1" customWidth="1"/>
    <col min="2" max="2" width="50" customWidth="1"/>
    <col min="3" max="3" width="21.88671875" customWidth="1"/>
    <col min="4" max="5" width="40" customWidth="1"/>
  </cols>
  <sheetData>
    <row r="1" spans="1:5" ht="18" x14ac:dyDescent="0.3">
      <c r="A1" s="16" t="s">
        <v>0</v>
      </c>
      <c r="B1" s="15"/>
      <c r="C1" s="15"/>
      <c r="D1" s="15"/>
      <c r="E1" s="15"/>
    </row>
    <row r="3" spans="1:5" x14ac:dyDescent="0.3">
      <c r="A3" s="14" t="s">
        <v>1</v>
      </c>
      <c r="B3" s="15"/>
      <c r="C3" s="15"/>
      <c r="D3" s="15"/>
      <c r="E3" s="15"/>
    </row>
    <row r="4" spans="1:5" x14ac:dyDescent="0.3">
      <c r="A4" s="1" t="s">
        <v>2</v>
      </c>
      <c r="B4" s="2" t="s">
        <v>3</v>
      </c>
    </row>
    <row r="5" spans="1:5" x14ac:dyDescent="0.3">
      <c r="A5" s="1" t="s">
        <v>4</v>
      </c>
      <c r="B5" s="2">
        <v>2</v>
      </c>
    </row>
    <row r="6" spans="1:5" x14ac:dyDescent="0.3">
      <c r="A6" s="1" t="s">
        <v>5</v>
      </c>
      <c r="B6" s="2">
        <v>2</v>
      </c>
    </row>
    <row r="7" spans="1:5" x14ac:dyDescent="0.3">
      <c r="A7" s="1" t="s">
        <v>6</v>
      </c>
      <c r="B7" s="2" t="s">
        <v>7</v>
      </c>
    </row>
    <row r="8" spans="1:5" x14ac:dyDescent="0.3">
      <c r="A8" s="1" t="s">
        <v>8</v>
      </c>
      <c r="B8" s="2" t="s">
        <v>9</v>
      </c>
    </row>
    <row r="9" spans="1:5" x14ac:dyDescent="0.3">
      <c r="A9" s="1" t="s">
        <v>10</v>
      </c>
      <c r="B9" s="2" t="s">
        <v>11</v>
      </c>
    </row>
    <row r="11" spans="1:5" x14ac:dyDescent="0.3">
      <c r="A11" s="14" t="s">
        <v>12</v>
      </c>
      <c r="B11" s="15"/>
      <c r="C11" s="15"/>
      <c r="D11" s="15"/>
      <c r="E11" s="15"/>
    </row>
    <row r="12" spans="1:5" ht="15.6" x14ac:dyDescent="0.3">
      <c r="A12" s="3" t="s">
        <v>13</v>
      </c>
      <c r="B12" s="3" t="s">
        <v>14</v>
      </c>
      <c r="C12" s="3" t="s">
        <v>15</v>
      </c>
      <c r="D12" s="3" t="s">
        <v>16</v>
      </c>
      <c r="E12" s="3" t="s">
        <v>17</v>
      </c>
    </row>
    <row r="13" spans="1:5" x14ac:dyDescent="0.3">
      <c r="A13" s="4" t="s">
        <v>18</v>
      </c>
      <c r="B13" s="5" t="s">
        <v>19</v>
      </c>
      <c r="C13" s="6">
        <v>3</v>
      </c>
      <c r="D13" s="5" t="s">
        <v>20</v>
      </c>
      <c r="E13" s="5" t="s">
        <v>21</v>
      </c>
    </row>
    <row r="14" spans="1:5" x14ac:dyDescent="0.3">
      <c r="A14" s="4" t="s">
        <v>22</v>
      </c>
      <c r="B14" s="5" t="s">
        <v>23</v>
      </c>
      <c r="C14" s="6">
        <v>2</v>
      </c>
      <c r="D14" s="5" t="s">
        <v>24</v>
      </c>
      <c r="E14" s="5" t="s">
        <v>25</v>
      </c>
    </row>
    <row r="15" spans="1:5" x14ac:dyDescent="0.3">
      <c r="A15" s="4" t="s">
        <v>26</v>
      </c>
      <c r="B15" s="5" t="s">
        <v>27</v>
      </c>
      <c r="C15" s="6">
        <v>3</v>
      </c>
      <c r="D15" s="5" t="s">
        <v>28</v>
      </c>
      <c r="E15" s="5" t="s">
        <v>29</v>
      </c>
    </row>
    <row r="17" spans="1:5" x14ac:dyDescent="0.3">
      <c r="A17" s="14" t="s">
        <v>30</v>
      </c>
      <c r="B17" s="15"/>
      <c r="C17" s="15"/>
      <c r="D17" s="15"/>
      <c r="E17" s="15"/>
    </row>
    <row r="18" spans="1:5" ht="15.6" x14ac:dyDescent="0.3">
      <c r="A18" s="3" t="s">
        <v>13</v>
      </c>
      <c r="B18" s="3" t="s">
        <v>14</v>
      </c>
      <c r="C18" s="3" t="s">
        <v>15</v>
      </c>
      <c r="D18" s="3" t="s">
        <v>16</v>
      </c>
      <c r="E18" s="3" t="s">
        <v>17</v>
      </c>
    </row>
    <row r="19" spans="1:5" x14ac:dyDescent="0.3">
      <c r="A19" s="4" t="s">
        <v>31</v>
      </c>
      <c r="B19" s="5" t="s">
        <v>32</v>
      </c>
      <c r="C19" s="6">
        <v>3</v>
      </c>
      <c r="D19" s="5" t="s">
        <v>33</v>
      </c>
      <c r="E19" s="5" t="s">
        <v>34</v>
      </c>
    </row>
    <row r="20" spans="1:5" x14ac:dyDescent="0.3">
      <c r="A20" s="4" t="s">
        <v>35</v>
      </c>
      <c r="B20" s="5" t="s">
        <v>36</v>
      </c>
      <c r="C20" s="6">
        <v>2</v>
      </c>
      <c r="D20" s="5" t="s">
        <v>37</v>
      </c>
      <c r="E20" s="5" t="s">
        <v>38</v>
      </c>
    </row>
    <row r="21" spans="1:5" x14ac:dyDescent="0.3">
      <c r="A21" s="4" t="s">
        <v>39</v>
      </c>
      <c r="B21" s="5" t="s">
        <v>40</v>
      </c>
      <c r="C21" s="6">
        <v>3</v>
      </c>
      <c r="D21" s="5" t="s">
        <v>41</v>
      </c>
      <c r="E21" s="5" t="s">
        <v>42</v>
      </c>
    </row>
    <row r="24" spans="1:5" x14ac:dyDescent="0.3">
      <c r="A24" s="17" t="s">
        <v>43</v>
      </c>
      <c r="B24" s="15"/>
      <c r="C24" s="15"/>
      <c r="D24" s="15"/>
      <c r="E24" s="15"/>
    </row>
    <row r="25" spans="1:5" x14ac:dyDescent="0.3">
      <c r="B25" s="1" t="s">
        <v>44</v>
      </c>
      <c r="C25" s="7">
        <f>IFERROR(AVERAGE(C13:C15), 0)</f>
        <v>2.6666666666666665</v>
      </c>
    </row>
    <row r="26" spans="1:5" x14ac:dyDescent="0.3">
      <c r="B26" s="1" t="s">
        <v>45</v>
      </c>
      <c r="C26" s="7">
        <f>IFERROR(AVERAGE(C19:C21), 0)</f>
        <v>2.6666666666666665</v>
      </c>
    </row>
    <row r="27" spans="1:5" x14ac:dyDescent="0.3">
      <c r="B27" s="1" t="s">
        <v>46</v>
      </c>
      <c r="C27" s="11" t="str">
        <f>IF(ISBLANK(B5), "", IF(B5&gt;=15, "Alto (Restringe atrações sem infra)", IF(B5&gt;=6, "Médio", "Baixo (Viagem ágil)")))</f>
        <v>Baixo (Viagem ágil)</v>
      </c>
    </row>
  </sheetData>
  <mergeCells count="5">
    <mergeCell ref="A17:E17"/>
    <mergeCell ref="A11:E11"/>
    <mergeCell ref="A1:E1"/>
    <mergeCell ref="A24:E24"/>
    <mergeCell ref="A3:E3"/>
  </mergeCells>
  <dataValidations count="5">
    <dataValidation type="whole" operator="greaterThanOrEqual" sqref="B5:B6" xr:uid="{00000000-0002-0000-0000-000000000000}">
      <formula1>2</formula1>
    </dataValidation>
    <dataValidation type="list" allowBlank="1" sqref="B7" xr:uid="{00000000-0002-0000-0000-000001000000}">
      <formula1>"Família com Crianças,Família (Adultos),Amigos (Jovens),Amigos (Adultos/Seniores),Casais,Excursão Escolar/Mista"</formula1>
    </dataValidation>
    <dataValidation type="list" allowBlank="1" sqref="B8" xr:uid="{00000000-0002-0000-0000-000002000000}">
      <formula1>"Rápido (Muitas atrações),Moderado (Equilibrado),Slow Travel (Calmo e imersivo)"</formula1>
    </dataValidation>
    <dataValidation type="list" allowBlank="1" sqref="B9" xr:uid="{00000000-0002-0000-0000-000003000000}">
      <formula1>"Nenhuma,Vegetariano / Vegano,Sem Glúten / Lactose,Múltiplas"</formula1>
    </dataValidation>
    <dataValidation type="list" allowBlank="1" sqref="C13:C15 C19:C21" xr:uid="{00000000-0002-0000-0000-000004000000}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topLeftCell="H1" workbookViewId="0">
      <pane ySplit="1" topLeftCell="A8" activePane="bottomLeft" state="frozen"/>
      <selection pane="bottomLeft" activeCell="K13" sqref="K13"/>
    </sheetView>
  </sheetViews>
  <sheetFormatPr defaultRowHeight="15" customHeight="1" x14ac:dyDescent="0.3"/>
  <cols>
    <col min="1" max="1" width="10" customWidth="1"/>
    <col min="2" max="2" width="35" customWidth="1"/>
    <col min="3" max="3" width="25" customWidth="1"/>
    <col min="4" max="4" width="31" bestFit="1" customWidth="1"/>
    <col min="5" max="5" width="31" customWidth="1"/>
    <col min="6" max="6" width="32.88671875" customWidth="1"/>
    <col min="7" max="7" width="27.5546875" customWidth="1"/>
    <col min="8" max="8" width="25" customWidth="1"/>
    <col min="9" max="9" width="60" customWidth="1"/>
    <col min="10" max="10" width="25" customWidth="1"/>
    <col min="11" max="11" width="20.33203125" bestFit="1" customWidth="1"/>
  </cols>
  <sheetData>
    <row r="1" spans="1:11" ht="15.6" x14ac:dyDescent="0.3">
      <c r="A1" s="3" t="s">
        <v>13</v>
      </c>
      <c r="B1" s="3" t="s">
        <v>47</v>
      </c>
      <c r="C1" s="3" t="s">
        <v>48</v>
      </c>
      <c r="D1" s="3" t="s">
        <v>92</v>
      </c>
      <c r="E1" s="3" t="s">
        <v>93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</row>
    <row r="2" spans="1:11" ht="57.6" x14ac:dyDescent="0.3">
      <c r="A2" s="4" t="s">
        <v>55</v>
      </c>
      <c r="B2" s="5" t="s">
        <v>56</v>
      </c>
      <c r="C2" s="5" t="s">
        <v>57</v>
      </c>
      <c r="D2" s="13">
        <v>0.33333333333333331</v>
      </c>
      <c r="E2" s="13">
        <v>0.91666666666666663</v>
      </c>
      <c r="F2" s="9">
        <v>50</v>
      </c>
      <c r="G2" s="4">
        <v>1.5</v>
      </c>
      <c r="H2" s="8">
        <v>1</v>
      </c>
      <c r="I2" s="8">
        <v>1</v>
      </c>
      <c r="J2" s="12" t="s">
        <v>58</v>
      </c>
      <c r="K2" s="5" t="s">
        <v>59</v>
      </c>
    </row>
    <row r="3" spans="1:11" ht="43.2" x14ac:dyDescent="0.3">
      <c r="A3" s="4" t="s">
        <v>60</v>
      </c>
      <c r="B3" s="5" t="s">
        <v>61</v>
      </c>
      <c r="C3" s="5" t="s">
        <v>62</v>
      </c>
      <c r="D3" s="13">
        <v>0.25</v>
      </c>
      <c r="E3" s="13">
        <v>0.66666666666666663</v>
      </c>
      <c r="F3" s="9">
        <v>100</v>
      </c>
      <c r="G3" s="4">
        <v>1</v>
      </c>
      <c r="H3" s="8">
        <v>1</v>
      </c>
      <c r="I3" s="8">
        <v>1</v>
      </c>
      <c r="J3" s="12" t="s">
        <v>58</v>
      </c>
      <c r="K3" s="5" t="s">
        <v>63</v>
      </c>
    </row>
    <row r="4" spans="1:11" ht="72" x14ac:dyDescent="0.3">
      <c r="A4" s="4" t="s">
        <v>64</v>
      </c>
      <c r="B4" s="5" t="s">
        <v>65</v>
      </c>
      <c r="C4" s="5" t="s">
        <v>66</v>
      </c>
      <c r="D4" s="13">
        <v>0.33333333333333331</v>
      </c>
      <c r="E4" s="13">
        <v>0.875</v>
      </c>
      <c r="F4" s="9">
        <v>30</v>
      </c>
      <c r="G4" s="4">
        <v>2</v>
      </c>
      <c r="H4" s="8">
        <v>2</v>
      </c>
      <c r="I4" s="9">
        <v>2.5</v>
      </c>
      <c r="J4" s="9" t="s">
        <v>67</v>
      </c>
      <c r="K4" s="5" t="s">
        <v>68</v>
      </c>
    </row>
    <row r="5" spans="1:11" ht="72" x14ac:dyDescent="0.3">
      <c r="A5" s="4" t="s">
        <v>69</v>
      </c>
      <c r="B5" s="5" t="s">
        <v>70</v>
      </c>
      <c r="C5" s="5" t="s">
        <v>71</v>
      </c>
      <c r="D5" s="13">
        <v>0.33333333333333331</v>
      </c>
      <c r="E5" s="13">
        <v>0.66666666666666663</v>
      </c>
      <c r="F5" s="9">
        <v>25</v>
      </c>
      <c r="G5" s="4">
        <v>2</v>
      </c>
      <c r="H5" s="9">
        <v>2.5</v>
      </c>
      <c r="I5" s="8">
        <v>2</v>
      </c>
      <c r="J5" s="9" t="s">
        <v>72</v>
      </c>
      <c r="K5" s="5" t="s">
        <v>73</v>
      </c>
    </row>
    <row r="6" spans="1:11" ht="72" x14ac:dyDescent="0.3">
      <c r="A6" s="4" t="s">
        <v>74</v>
      </c>
      <c r="B6" s="5" t="s">
        <v>75</v>
      </c>
      <c r="C6" s="5" t="s">
        <v>76</v>
      </c>
      <c r="D6" s="13">
        <v>0.29166666666666669</v>
      </c>
      <c r="E6" s="13">
        <v>0.70833333333333337</v>
      </c>
      <c r="F6" s="9">
        <v>15</v>
      </c>
      <c r="G6" s="4">
        <v>3</v>
      </c>
      <c r="H6" s="9">
        <v>3.5</v>
      </c>
      <c r="I6" s="9">
        <v>3</v>
      </c>
      <c r="J6" s="12" t="s">
        <v>58</v>
      </c>
      <c r="K6" s="5" t="s">
        <v>77</v>
      </c>
    </row>
    <row r="7" spans="1:11" ht="72" x14ac:dyDescent="0.3">
      <c r="A7" s="4" t="s">
        <v>78</v>
      </c>
      <c r="B7" s="5" t="s">
        <v>79</v>
      </c>
      <c r="C7" s="5" t="s">
        <v>80</v>
      </c>
      <c r="D7" s="13">
        <v>0.33333333333333331</v>
      </c>
      <c r="E7" s="13">
        <v>0.66666666666666663</v>
      </c>
      <c r="F7" s="9">
        <v>10</v>
      </c>
      <c r="G7" s="4">
        <v>3</v>
      </c>
      <c r="H7" s="10">
        <v>4</v>
      </c>
      <c r="I7" s="9">
        <v>2.5</v>
      </c>
      <c r="J7" s="12" t="s">
        <v>58</v>
      </c>
      <c r="K7" s="5" t="s">
        <v>81</v>
      </c>
    </row>
    <row r="8" spans="1:11" ht="72" x14ac:dyDescent="0.3">
      <c r="A8" s="4" t="s">
        <v>82</v>
      </c>
      <c r="B8" s="5" t="s">
        <v>83</v>
      </c>
      <c r="C8" s="5" t="s">
        <v>84</v>
      </c>
      <c r="D8" s="13">
        <v>0.375</v>
      </c>
      <c r="E8" s="13">
        <v>0.70833333333333337</v>
      </c>
      <c r="F8" s="9">
        <v>8</v>
      </c>
      <c r="G8" s="4">
        <v>5</v>
      </c>
      <c r="H8" s="10">
        <v>5</v>
      </c>
      <c r="I8" s="10">
        <v>5</v>
      </c>
      <c r="J8" s="10" t="s">
        <v>85</v>
      </c>
      <c r="K8" s="5" t="s">
        <v>86</v>
      </c>
    </row>
    <row r="9" spans="1:11" ht="43.2" x14ac:dyDescent="0.3">
      <c r="A9" s="4" t="s">
        <v>87</v>
      </c>
      <c r="B9" s="5" t="s">
        <v>88</v>
      </c>
      <c r="C9" s="5" t="s">
        <v>89</v>
      </c>
      <c r="D9" s="13">
        <v>0.41666666666666669</v>
      </c>
      <c r="E9" s="13">
        <v>0.75</v>
      </c>
      <c r="F9" s="9">
        <v>40</v>
      </c>
      <c r="G9" s="4">
        <v>2</v>
      </c>
      <c r="H9" s="8">
        <v>2</v>
      </c>
      <c r="I9" s="8">
        <v>1.5</v>
      </c>
      <c r="J9" s="9" t="s">
        <v>90</v>
      </c>
      <c r="K9" s="5" t="s">
        <v>91</v>
      </c>
    </row>
    <row r="10" spans="1:11" ht="15" customHeight="1" x14ac:dyDescent="0.3">
      <c r="A10" s="18" t="s">
        <v>94</v>
      </c>
      <c r="B10" s="19" t="s">
        <v>95</v>
      </c>
      <c r="C10" s="19" t="s">
        <v>89</v>
      </c>
      <c r="D10" s="20">
        <v>0.47916666666666669</v>
      </c>
      <c r="E10" s="20">
        <v>0.52083333333333337</v>
      </c>
      <c r="F10" s="21">
        <v>20</v>
      </c>
      <c r="G10" s="18">
        <v>1</v>
      </c>
      <c r="H10">
        <v>1</v>
      </c>
      <c r="I10">
        <v>2</v>
      </c>
      <c r="J10" t="s">
        <v>96</v>
      </c>
      <c r="K10" s="19" t="s">
        <v>97</v>
      </c>
    </row>
  </sheetData>
  <autoFilter ref="A1:K9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D7A35CFD2D2D45B20C6362497126C7" ma:contentTypeVersion="8" ma:contentTypeDescription="Crie um novo documento." ma:contentTypeScope="" ma:versionID="d2a60b3ed34870b4f8f76874e3ac6801">
  <xsd:schema xmlns:xsd="http://www.w3.org/2001/XMLSchema" xmlns:xs="http://www.w3.org/2001/XMLSchema" xmlns:p="http://schemas.microsoft.com/office/2006/metadata/properties" xmlns:ns2="74e101fc-1687-449e-8969-ff4a6b671af6" targetNamespace="http://schemas.microsoft.com/office/2006/metadata/properties" ma:root="true" ma:fieldsID="1de707fefcd75a919c722120ca2b88e5" ns2:_="">
    <xsd:import namespace="74e101fc-1687-449e-8969-ff4a6b671a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101fc-1687-449e-8969-ff4a6b671a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ee0d7d-e0dd-4976-8ad4-cb0783d2a5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e101fc-1687-449e-8969-ff4a6b671a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87C600-1806-4C14-8D0A-F3BCC5C17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e101fc-1687-449e-8969-ff4a6b671a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31E762-F2F3-43B5-8E12-66AA97346D29}">
  <ds:schemaRefs>
    <ds:schemaRef ds:uri="http://schemas.microsoft.com/office/2006/metadata/properties"/>
    <ds:schemaRef ds:uri="http://schemas.microsoft.com/office/infopath/2007/PartnerControls"/>
    <ds:schemaRef ds:uri="74e101fc-1687-449e-8969-ff4a6b671af6"/>
  </ds:schemaRefs>
</ds:datastoreItem>
</file>

<file path=customXml/itemProps3.xml><?xml version="1.0" encoding="utf-8"?>
<ds:datastoreItem xmlns:ds="http://schemas.openxmlformats.org/officeDocument/2006/customXml" ds:itemID="{27FF121D-DCE7-4A0B-B15D-D67431C749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Perfil do Turista (Grupos)</vt:lpstr>
      <vt:lpstr>Inventário Turístico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USI-SEVEN</cp:lastModifiedBy>
  <cp:revision/>
  <dcterms:created xsi:type="dcterms:W3CDTF">2026-09-10T12:39:03Z</dcterms:created>
  <dcterms:modified xsi:type="dcterms:W3CDTF">2026-10-28T16:48:11Z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0x01010092D7A35CFD2D2D45B20C6362497126C7</vt:lpwstr>
  </property>
</Properties>
</file>